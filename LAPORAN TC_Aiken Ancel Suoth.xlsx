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sel Punya\digitalent\OKM\asassmen\FIX\EXCEL\"/>
    </mc:Choice>
  </mc:AlternateContent>
  <xr:revisionPtr revIDLastSave="0" documentId="13_ncr:1_{E95CD420-A2BC-4D1C-B43A-78D28C385455}" xr6:coauthVersionLast="47" xr6:coauthVersionMax="47" xr10:uidLastSave="{00000000-0000-0000-0000-000000000000}"/>
  <bookViews>
    <workbookView xWindow="-96" yWindow="0" windowWidth="11712" windowHeight="12336" firstSheet="3" activeTab="3" xr2:uid="{CE796599-5599-4685-BEFE-817DE58AF9A4}"/>
  </bookViews>
  <sheets>
    <sheet name="Laporan" sheetId="1" r:id="rId1"/>
    <sheet name="tabel bantu" sheetId="2" r:id="rId2"/>
    <sheet name="SHORT-FILTER" sheetId="8" r:id="rId3"/>
    <sheet name="GRAFIK" sheetId="9" r:id="rId4"/>
  </sheets>
  <definedNames>
    <definedName name="_xlnm._FilterDatabase" localSheetId="2" hidden="1">'SHORT-FILTER'!$A$18:$H$28</definedName>
    <definedName name="_xlnm.Print_Area" localSheetId="3">GRAFIK!$A$1:$D$52</definedName>
    <definedName name="_xlnm.Print_Area" localSheetId="0">Laporan!$A$1:$I$24</definedName>
    <definedName name="_xlnm.Print_Area" localSheetId="2">'SHORT-FILTER'!$A$1:$H$42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9" l="1"/>
  <c r="B34" i="9"/>
  <c r="A30" i="9"/>
  <c r="A31" i="9"/>
  <c r="A32" i="9"/>
  <c r="A33" i="9"/>
  <c r="A34" i="9"/>
  <c r="A29" i="9"/>
  <c r="G15" i="1"/>
  <c r="F15" i="1"/>
  <c r="D15" i="1"/>
  <c r="E15" i="1"/>
  <c r="G14" i="1"/>
  <c r="F14" i="1"/>
  <c r="D14" i="1"/>
  <c r="E14" i="1"/>
  <c r="F13" i="1"/>
  <c r="G13" i="1" s="1"/>
  <c r="H13" i="1" s="1"/>
  <c r="D13" i="1"/>
  <c r="E13" i="1"/>
  <c r="F12" i="1"/>
  <c r="G12" i="1" s="1"/>
  <c r="H12" i="1" s="1"/>
  <c r="D12" i="1"/>
  <c r="E12" i="1"/>
  <c r="G11" i="1"/>
  <c r="F11" i="1"/>
  <c r="D11" i="1"/>
  <c r="E11" i="1"/>
  <c r="G10" i="1"/>
  <c r="F10" i="1"/>
  <c r="D10" i="1"/>
  <c r="E10" i="1"/>
  <c r="G9" i="1"/>
  <c r="F9" i="1"/>
  <c r="D9" i="1"/>
  <c r="E9" i="1"/>
  <c r="F8" i="1"/>
  <c r="G8" i="1" s="1"/>
  <c r="H8" i="1" s="1"/>
  <c r="D8" i="1"/>
  <c r="E8" i="1"/>
  <c r="F7" i="1"/>
  <c r="G7" i="1" s="1"/>
  <c r="H7" i="1" s="1"/>
  <c r="D7" i="1"/>
  <c r="E7" i="1"/>
  <c r="F6" i="1"/>
  <c r="G6" i="1" s="1"/>
  <c r="D6" i="1"/>
  <c r="E6" i="1"/>
  <c r="G28" i="8"/>
  <c r="F28" i="8"/>
  <c r="E28" i="8"/>
  <c r="D28" i="8"/>
  <c r="F27" i="8"/>
  <c r="G27" i="8" s="1"/>
  <c r="H27" i="8" s="1"/>
  <c r="E27" i="8"/>
  <c r="D27" i="8"/>
  <c r="G26" i="8"/>
  <c r="F26" i="8"/>
  <c r="E26" i="8"/>
  <c r="D26" i="8"/>
  <c r="G25" i="8"/>
  <c r="F25" i="8"/>
  <c r="E25" i="8"/>
  <c r="D25" i="8"/>
  <c r="G24" i="8"/>
  <c r="F24" i="8"/>
  <c r="E24" i="8"/>
  <c r="D24" i="8"/>
  <c r="G23" i="8"/>
  <c r="F23" i="8"/>
  <c r="E23" i="8"/>
  <c r="D23" i="8"/>
  <c r="G22" i="8"/>
  <c r="F22" i="8"/>
  <c r="E22" i="8"/>
  <c r="D22" i="8"/>
  <c r="F21" i="8"/>
  <c r="G21" i="8" s="1"/>
  <c r="H21" i="8" s="1"/>
  <c r="E21" i="8"/>
  <c r="D21" i="8"/>
  <c r="F20" i="8"/>
  <c r="G20" i="8" s="1"/>
  <c r="H20" i="8" s="1"/>
  <c r="E20" i="8"/>
  <c r="D20" i="8"/>
  <c r="F19" i="8"/>
  <c r="G19" i="8" s="1"/>
  <c r="H19" i="8" s="1"/>
  <c r="E19" i="8"/>
  <c r="D19" i="8"/>
  <c r="G10" i="8"/>
  <c r="F10" i="8"/>
  <c r="E10" i="8"/>
  <c r="D10" i="8"/>
  <c r="G9" i="8"/>
  <c r="F9" i="8"/>
  <c r="E9" i="8"/>
  <c r="D9" i="8"/>
  <c r="F14" i="8"/>
  <c r="G14" i="8" s="1"/>
  <c r="H14" i="8" s="1"/>
  <c r="E14" i="8"/>
  <c r="D14" i="8"/>
  <c r="F7" i="8"/>
  <c r="G7" i="8" s="1"/>
  <c r="H7" i="8" s="1"/>
  <c r="E7" i="8"/>
  <c r="D7" i="8"/>
  <c r="G13" i="8"/>
  <c r="F13" i="8"/>
  <c r="E13" i="8"/>
  <c r="D13" i="8"/>
  <c r="G12" i="8"/>
  <c r="F12" i="8"/>
  <c r="E12" i="8"/>
  <c r="D12" i="8"/>
  <c r="G15" i="8"/>
  <c r="F15" i="8"/>
  <c r="E15" i="8"/>
  <c r="D15" i="8"/>
  <c r="F8" i="8"/>
  <c r="G8" i="8" s="1"/>
  <c r="H8" i="8" s="1"/>
  <c r="E8" i="8"/>
  <c r="D8" i="8"/>
  <c r="F6" i="8"/>
  <c r="G6" i="8" s="1"/>
  <c r="H6" i="8" s="1"/>
  <c r="E6" i="8"/>
  <c r="D6" i="8"/>
  <c r="G11" i="8"/>
  <c r="F11" i="8"/>
  <c r="E11" i="8"/>
  <c r="D11" i="8"/>
  <c r="F24" i="1"/>
  <c r="H9" i="1" l="1"/>
  <c r="H11" i="1"/>
  <c r="H10" i="1"/>
  <c r="H14" i="1"/>
  <c r="H15" i="1"/>
  <c r="H6" i="1"/>
  <c r="B3" i="9"/>
  <c r="C20" i="1"/>
  <c r="C23" i="1"/>
  <c r="C24" i="1"/>
  <c r="H22" i="8"/>
  <c r="H23" i="8"/>
  <c r="H24" i="8"/>
  <c r="H25" i="8"/>
  <c r="H26" i="8"/>
  <c r="H28" i="8"/>
  <c r="H15" i="8"/>
  <c r="H11" i="8"/>
  <c r="H10" i="8"/>
  <c r="H12" i="8"/>
  <c r="H9" i="8"/>
  <c r="H13" i="8"/>
  <c r="C21" i="1" l="1"/>
  <c r="F19" i="1"/>
  <c r="B8" i="9"/>
  <c r="C22" i="1"/>
  <c r="F23" i="1"/>
  <c r="F22" i="1"/>
  <c r="F20" i="1"/>
  <c r="F21" i="1"/>
</calcChain>
</file>

<file path=xl/sharedStrings.xml><?xml version="1.0" encoding="utf-8"?>
<sst xmlns="http://schemas.openxmlformats.org/spreadsheetml/2006/main" count="133" uniqueCount="59">
  <si>
    <t>ID TRAINING CENTER</t>
  </si>
  <si>
    <t>NO</t>
  </si>
  <si>
    <t>NO.INDUK</t>
  </si>
  <si>
    <t>NAMA PESERTA</t>
  </si>
  <si>
    <t>PEKERJAAN</t>
  </si>
  <si>
    <t>BIAYA</t>
  </si>
  <si>
    <t>DISKON</t>
  </si>
  <si>
    <t>TOTAL BIAYA</t>
  </si>
  <si>
    <t>MO-107-2</t>
  </si>
  <si>
    <t>CA-116-1</t>
  </si>
  <si>
    <t>DM-105-2</t>
  </si>
  <si>
    <t>SP-113-2</t>
  </si>
  <si>
    <t>MO-103-2</t>
  </si>
  <si>
    <t>CA-110-1</t>
  </si>
  <si>
    <t>MO-118-2</t>
  </si>
  <si>
    <t>MO-112-1</t>
  </si>
  <si>
    <t>GD-108-2</t>
  </si>
  <si>
    <t>GD-114-2</t>
  </si>
  <si>
    <t>Djamilah</t>
  </si>
  <si>
    <t>Jamaludin</t>
  </si>
  <si>
    <t>Bela Ngadiya</t>
  </si>
  <si>
    <t>Muqoddam</t>
  </si>
  <si>
    <t>Chaerudin</t>
  </si>
  <si>
    <t>Erza Syafi'e</t>
  </si>
  <si>
    <t>Merry Rayana</t>
  </si>
  <si>
    <t>Haryadi Susilo</t>
  </si>
  <si>
    <t>Joko Suprapto</t>
  </si>
  <si>
    <t>Zainuddin</t>
  </si>
  <si>
    <t>KODE KELAS</t>
  </si>
  <si>
    <t>NAMA KELAS</t>
  </si>
  <si>
    <t>CA</t>
  </si>
  <si>
    <t>GD</t>
  </si>
  <si>
    <t>MO</t>
  </si>
  <si>
    <t>SP</t>
  </si>
  <si>
    <t>DM</t>
  </si>
  <si>
    <t>Computerized Accounting</t>
  </si>
  <si>
    <t>Graphic Design</t>
  </si>
  <si>
    <t>Microsoft Office</t>
  </si>
  <si>
    <t>Senior Programming</t>
  </si>
  <si>
    <t>Digital Marketing</t>
  </si>
  <si>
    <t>STATISTIKI BERDASARKAN DATA KELAS</t>
  </si>
  <si>
    <t>STATISTIK BERDASARKAN DATA KELAS</t>
  </si>
  <si>
    <t>KELAS</t>
  </si>
  <si>
    <t>TOTAL BIAYA:</t>
  </si>
  <si>
    <t>RATA - RATA BIAYA:</t>
  </si>
  <si>
    <t>RATA - RATA BIAYA KELAS  Ms.Office:</t>
  </si>
  <si>
    <t>TOTAL BIAYA TERTINGGI:</t>
  </si>
  <si>
    <t>TOTAL BIAYA TERENDAH:</t>
  </si>
  <si>
    <t>JUMLAH DATA:</t>
  </si>
  <si>
    <t>FILTER</t>
  </si>
  <si>
    <t>Grand Total</t>
  </si>
  <si>
    <t>Nama Kelas</t>
  </si>
  <si>
    <t>Pelajar</t>
  </si>
  <si>
    <t>Umum</t>
  </si>
  <si>
    <t>Pekerjaan</t>
  </si>
  <si>
    <t>SORTING</t>
  </si>
  <si>
    <t>TABEL BANTU</t>
  </si>
  <si>
    <t>LAPORAN PENDAFTARAAN PESERTA PELATIHAN</t>
  </si>
  <si>
    <t>BULAN JANUARI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</si>
</sst>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2" applyFont="1" applyAlignment="1">
      <alignment horizontal="center" vertical="center"/>
    </xf>
    <xf numFmtId="0" fontId="3" fillId="2" borderId="1" xfId="2" applyFont="1"/>
    <xf numFmtId="165" fontId="3" fillId="2" borderId="1" xfId="1" applyFont="1" applyFill="1" applyBorder="1"/>
    <xf numFmtId="165" fontId="3" fillId="2" borderId="1" xfId="2" applyNumberFormat="1" applyFont="1"/>
    <xf numFmtId="0" fontId="7" fillId="0" borderId="0" xfId="0" applyFont="1"/>
    <xf numFmtId="0" fontId="6" fillId="3" borderId="1" xfId="2" applyFont="1" applyFill="1" applyAlignment="1">
      <alignment horizontal="center" vertical="center"/>
    </xf>
    <xf numFmtId="0" fontId="6" fillId="2" borderId="1" xfId="2" applyFont="1"/>
    <xf numFmtId="0" fontId="6" fillId="2" borderId="1" xfId="2" applyFont="1" applyAlignment="1">
      <alignment horizontal="center" vertical="center"/>
    </xf>
    <xf numFmtId="165" fontId="6" fillId="2" borderId="1" xfId="1" applyFont="1" applyFill="1" applyBorder="1"/>
    <xf numFmtId="165" fontId="6" fillId="2" borderId="1" xfId="2" applyNumberFormat="1" applyFont="1"/>
    <xf numFmtId="0" fontId="6" fillId="3" borderId="1" xfId="2" applyFont="1" applyFill="1" applyAlignment="1">
      <alignment horizontal="center"/>
    </xf>
    <xf numFmtId="0" fontId="6" fillId="2" borderId="0" xfId="2" applyFont="1" applyBorder="1"/>
    <xf numFmtId="0" fontId="6" fillId="2" borderId="1" xfId="2" applyFont="1" applyAlignment="1">
      <alignment horizontal="right"/>
    </xf>
    <xf numFmtId="43" fontId="6" fillId="2" borderId="1" xfId="2" applyNumberFormat="1" applyFont="1"/>
    <xf numFmtId="41" fontId="6" fillId="2" borderId="1" xfId="3" applyNumberFormat="1" applyFont="1" applyFill="1" applyBorder="1"/>
    <xf numFmtId="0" fontId="6" fillId="2" borderId="1" xfId="2" applyFont="1" applyAlignment="1">
      <alignment horizontal="center"/>
    </xf>
    <xf numFmtId="164" fontId="6" fillId="2" borderId="1" xfId="2" applyNumberFormat="1" applyFont="1"/>
    <xf numFmtId="0" fontId="6" fillId="3" borderId="0" xfId="2" applyFont="1" applyFill="1" applyBorder="1"/>
    <xf numFmtId="0" fontId="6" fillId="3" borderId="1" xfId="2" applyFont="1" applyFill="1"/>
    <xf numFmtId="166" fontId="6" fillId="2" borderId="1" xfId="3" applyNumberFormat="1" applyFont="1" applyFill="1" applyBorder="1"/>
    <xf numFmtId="166" fontId="6" fillId="3" borderId="1" xfId="3" applyNumberFormat="1" applyFont="1" applyFill="1" applyBorder="1"/>
    <xf numFmtId="41" fontId="6" fillId="2" borderId="1" xfId="2" applyNumberFormat="1" applyFont="1"/>
    <xf numFmtId="41" fontId="6" fillId="3" borderId="1" xfId="2" applyNumberFormat="1" applyFont="1" applyFill="1"/>
    <xf numFmtId="0" fontId="4" fillId="0" borderId="0" xfId="0" applyFont="1" applyAlignment="1">
      <alignment horizontal="left"/>
    </xf>
    <xf numFmtId="0" fontId="6" fillId="2" borderId="1" xfId="2" applyFont="1" applyAlignment="1">
      <alignment horizontal="left" vertical="center"/>
    </xf>
    <xf numFmtId="0" fontId="0" fillId="0" borderId="0" xfId="0" applyAlignment="1">
      <alignment horizontal="center"/>
    </xf>
    <xf numFmtId="0" fontId="6" fillId="3" borderId="1" xfId="2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3" borderId="1" xfId="2" applyFont="1" applyFill="1" applyAlignment="1">
      <alignment horizontal="center" vertical="center"/>
    </xf>
    <xf numFmtId="0" fontId="4" fillId="0" borderId="0" xfId="0" applyFont="1" applyAlignment="1"/>
    <xf numFmtId="0" fontId="6" fillId="3" borderId="3" xfId="2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9" fillId="0" borderId="0" xfId="0" applyFont="1" applyAlignment="1"/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5" xfId="0" applyBorder="1"/>
    <xf numFmtId="0" fontId="3" fillId="0" borderId="5" xfId="0" applyFont="1" applyBorder="1"/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">
    <cellStyle name="Calculation" xfId="2" builtinId="22"/>
    <cellStyle name="Comma" xfId="3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LAPORAN TOTAL BIAYA BERDASARKAN KELAS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GRAFIK!$B$2</c:f>
              <c:strCache>
                <c:ptCount val="1"/>
                <c:pt idx="0">
                  <c:v>TOTAL BIAYA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GRAFIK!$A$3:$A$7</c:f>
              <c:strCache>
                <c:ptCount val="5"/>
                <c:pt idx="0">
                  <c:v>Computerized Accounting</c:v>
                </c:pt>
                <c:pt idx="1">
                  <c:v>Digital Marketing</c:v>
                </c:pt>
                <c:pt idx="2">
                  <c:v>Graphic Design</c:v>
                </c:pt>
                <c:pt idx="3">
                  <c:v>Microsoft Office</c:v>
                </c:pt>
                <c:pt idx="4">
                  <c:v>Senior Programming</c:v>
                </c:pt>
              </c:strCache>
            </c:strRef>
          </c:cat>
          <c:val>
            <c:numRef>
              <c:f>GRAFIK!$B$3:$B$7</c:f>
              <c:numCache>
                <c:formatCode>_(* #,##0_);_(* \(#,##0\);_(* "-"??_);_(@_)</c:formatCode>
                <c:ptCount val="5"/>
                <c:pt idx="0">
                  <c:v>1020000</c:v>
                </c:pt>
                <c:pt idx="1">
                  <c:v>722500</c:v>
                </c:pt>
                <c:pt idx="2">
                  <c:v>1600000</c:v>
                </c:pt>
                <c:pt idx="3">
                  <c:v>1925000</c:v>
                </c:pt>
                <c:pt idx="4">
                  <c:v>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6-4512-9C23-14E71D15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043679"/>
        <c:axId val="631212799"/>
      </c:barChart>
      <c:catAx>
        <c:axId val="62604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12799"/>
        <c:crosses val="autoZero"/>
        <c:auto val="1"/>
        <c:lblAlgn val="ctr"/>
        <c:lblOffset val="100"/>
        <c:noMultiLvlLbl val="0"/>
      </c:catAx>
      <c:valAx>
        <c:axId val="63121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MASING - MASING BIAYA KELAS BERDASARKAN PEKERJAAN UMUM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4B-4841-879A-E7377A5C4E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4B-4841-879A-E7377A5C4E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4B-4841-879A-E7377A5C4E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4B-4841-879A-E7377A5C4E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4B-4841-879A-E7377A5C4E13}"/>
              </c:ext>
            </c:extLst>
          </c:dPt>
          <c:dLbls>
            <c:dLbl>
              <c:idx val="1"/>
              <c:layout>
                <c:manualLayout>
                  <c:x val="0.1552967276760954"/>
                  <c:y val="8.333333333333328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B4B-4841-879A-E7377A5C4E13}"/>
                </c:ext>
              </c:extLst>
            </c:dLbl>
            <c:dLbl>
              <c:idx val="2"/>
              <c:layout>
                <c:manualLayout>
                  <c:x val="4.4370493621741544E-2"/>
                  <c:y val="1.388888888888880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1B4B-4841-879A-E7377A5C4E13}"/>
                </c:ext>
              </c:extLst>
            </c:dLbl>
            <c:dLbl>
              <c:idx val="3"/>
              <c:layout>
                <c:manualLayout>
                  <c:x val="-1.6638935108153077E-2"/>
                  <c:y val="0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1B4B-4841-879A-E7377A5C4E13}"/>
                </c:ext>
              </c:extLst>
            </c:dLbl>
            <c:dLbl>
              <c:idx val="4"/>
              <c:layout>
                <c:manualLayout>
                  <c:x val="-0.13588463671658346"/>
                  <c:y val="7.40740740740740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1B4B-4841-879A-E7377A5C4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GRAFIK!$A$29:$A$33</c:f>
              <c:strCache>
                <c:ptCount val="5"/>
                <c:pt idx="0">
                  <c:v>Computerized Accounting</c:v>
                </c:pt>
                <c:pt idx="1">
                  <c:v>Digital Marketing</c:v>
                </c:pt>
                <c:pt idx="2">
                  <c:v>Graphic Design</c:v>
                </c:pt>
                <c:pt idx="3">
                  <c:v>Microsoft Office</c:v>
                </c:pt>
                <c:pt idx="4">
                  <c:v>Senior Programming</c:v>
                </c:pt>
              </c:strCache>
            </c:strRef>
          </c:cat>
          <c:val>
            <c:numRef>
              <c:f>GRAFIK!$C$29:$C$33</c:f>
              <c:numCache>
                <c:formatCode>_(* #,##0_);_(* \(#,##0\);_(* "-"_);_(@_)</c:formatCode>
                <c:ptCount val="5"/>
                <c:pt idx="1">
                  <c:v>722500</c:v>
                </c:pt>
                <c:pt idx="2">
                  <c:v>1600000</c:v>
                </c:pt>
                <c:pt idx="3">
                  <c:v>1500000</c:v>
                </c:pt>
                <c:pt idx="4">
                  <c:v>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0-4481-9D2F-218277577F4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285749</xdr:colOff>
      <xdr:row>0</xdr:row>
      <xdr:rowOff>0</xdr:rowOff>
    </xdr:from>
    <xdr:ext cx="1698625" cy="777101"/>
    <xdr:pic>
      <xdr:nvPicPr>
        <xdr:cNvPr id="4" name="Picture 3">
          <a:extLst>
            <a:ext uri="{FF2B5EF4-FFF2-40B4-BE49-F238E27FC236}">
              <a16:creationId xmlns:a16="http://schemas.microsoft.com/office/drawing/2014/main" id="{D6EE90C3-74AF-48F7-A696-6F296C36B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0"/>
          <a:ext cx="1698625" cy="7771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285749</xdr:colOff>
      <xdr:row>0</xdr:row>
      <xdr:rowOff>0</xdr:rowOff>
    </xdr:from>
    <xdr:ext cx="1698625" cy="777101"/>
    <xdr:pic>
      <xdr:nvPicPr>
        <xdr:cNvPr id="3" name="Picture 2">
          <a:extLst>
            <a:ext uri="{FF2B5EF4-FFF2-40B4-BE49-F238E27FC236}">
              <a16:creationId xmlns:a16="http://schemas.microsoft.com/office/drawing/2014/main" id="{BB525E03-CBDC-4104-B883-833F7E75E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0"/>
          <a:ext cx="1698625" cy="7771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9</xdr:row>
      <xdr:rowOff>11430</xdr:rowOff>
    </xdr:from>
    <xdr:to>
      <xdr:col>3</xdr:col>
      <xdr:colOff>502920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07019-1764-4EDD-0131-33097DA25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251460</xdr:colOff>
      <xdr:row>35</xdr:row>
      <xdr:rowOff>148590</xdr:rowOff>
    </xdr:from>
    <xdr:to>
      <xdr:col>2</xdr:col>
      <xdr:colOff>1341120</xdr:colOff>
      <xdr:row>50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50080D-AC81-1A30-D139-20F9EEC6D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5DA5-6EA4-4F5E-9B8B-B12BAE8E0782}">
  <dimension ref="A1:L24"/>
  <sheetViews>
    <sheetView view="pageBreakPreview" topLeftCell="E1" zoomScale="60" zoomScaleNormal="96" workbookViewId="0">
      <selection activeCell="K32" sqref="K32"/>
    </sheetView>
  </sheetViews>
  <sheetFormatPr defaultRowHeight="14.4" x14ac:dyDescent="0.3"/>
  <cols>
    <col min="1" max="1" width="6.5546875" customWidth="1"/>
    <col min="2" max="2" width="27.33203125" customWidth="1"/>
    <col min="3" max="3" width="22.5546875" customWidth="1"/>
    <col min="4" max="4" width="28.6640625" style="26" customWidth="1"/>
    <col min="5" max="5" width="37.5546875" customWidth="1"/>
    <col min="6" max="6" width="19.6640625" customWidth="1"/>
    <col min="7" max="7" width="21.109375" customWidth="1"/>
    <col min="8" max="8" width="17.88671875" customWidth="1"/>
    <col min="10" max="14" width="11" customWidth="1"/>
  </cols>
  <sheetData>
    <row r="1" spans="1:12" ht="34.200000000000003" customHeight="1" x14ac:dyDescent="0.85">
      <c r="A1" s="35"/>
      <c r="B1" s="36"/>
      <c r="C1" s="37" t="s">
        <v>0</v>
      </c>
      <c r="D1" s="37"/>
      <c r="E1" s="32"/>
      <c r="F1" s="32"/>
      <c r="G1" s="32"/>
      <c r="H1" s="32"/>
      <c r="I1" s="32"/>
      <c r="K1" s="32"/>
      <c r="L1" s="32"/>
    </row>
    <row r="2" spans="1:12" ht="14.4" customHeight="1" x14ac:dyDescent="0.3">
      <c r="A2" s="43"/>
      <c r="B2" s="43"/>
      <c r="C2" s="41" t="s">
        <v>57</v>
      </c>
      <c r="D2" s="42"/>
      <c r="E2" s="44"/>
      <c r="F2" s="44"/>
      <c r="G2" s="44"/>
      <c r="H2" s="44"/>
      <c r="I2" s="44"/>
    </row>
    <row r="3" spans="1:12" ht="15" thickBot="1" x14ac:dyDescent="0.35">
      <c r="A3" s="38"/>
      <c r="B3" s="38"/>
      <c r="C3" s="39" t="s">
        <v>58</v>
      </c>
      <c r="D3" s="40"/>
      <c r="E3" s="38"/>
      <c r="F3" s="38"/>
      <c r="G3" s="38"/>
      <c r="H3" s="38"/>
      <c r="I3" s="38"/>
    </row>
    <row r="4" spans="1:12" ht="15" thickTop="1" x14ac:dyDescent="0.3"/>
    <row r="5" spans="1:12" ht="15.6" x14ac:dyDescent="0.3">
      <c r="A5" s="6" t="s">
        <v>1</v>
      </c>
      <c r="B5" s="6" t="s">
        <v>2</v>
      </c>
      <c r="C5" s="6" t="s">
        <v>3</v>
      </c>
      <c r="D5" s="6" t="s">
        <v>29</v>
      </c>
      <c r="E5" s="6" t="s">
        <v>4</v>
      </c>
      <c r="F5" s="6" t="s">
        <v>5</v>
      </c>
      <c r="G5" s="6" t="s">
        <v>6</v>
      </c>
      <c r="H5" s="6" t="s">
        <v>7</v>
      </c>
    </row>
    <row r="6" spans="1:12" ht="15.6" x14ac:dyDescent="0.3">
      <c r="A6" s="7">
        <v>1</v>
      </c>
      <c r="B6" s="7" t="s">
        <v>8</v>
      </c>
      <c r="C6" s="7" t="s">
        <v>18</v>
      </c>
      <c r="D6" s="25" t="str">
        <f>VLOOKUP(LEFT(B6,2),'tabel bantu'!$A$2:$C$7,2,FALSE)</f>
        <v>Microsoft Office</v>
      </c>
      <c r="E6" s="16" t="str">
        <f>IF(RIGHT(B6,1)="1","Pelajar",IF(RIGHT(B6,1)="2","Umum","Tidak Diketahui"))</f>
        <v>Umum</v>
      </c>
      <c r="F6" s="9">
        <f>VLOOKUP(LEFT(B6,2),'tabel bantu'!$A$2:$C$7,3,FALSE)</f>
        <v>500000</v>
      </c>
      <c r="G6" s="9">
        <f>IF(OR(LEFT(B6,2)="DM",RIGHT(B6,1)="1"),15/100*F6,0)</f>
        <v>0</v>
      </c>
      <c r="H6" s="10">
        <f>SUM(F6,G6)</f>
        <v>500000</v>
      </c>
    </row>
    <row r="7" spans="1:12" ht="15.6" x14ac:dyDescent="0.3">
      <c r="A7" s="7">
        <v>2</v>
      </c>
      <c r="B7" s="7" t="s">
        <v>9</v>
      </c>
      <c r="C7" s="7" t="s">
        <v>19</v>
      </c>
      <c r="D7" s="25" t="str">
        <f>VLOOKUP(LEFT(B7,2),'tabel bantu'!$A$2:$C$7,2,FALSE)</f>
        <v>Computerized Accounting</v>
      </c>
      <c r="E7" s="16" t="str">
        <f>IF(RIGHT(B7,1)="1","Pelajar",IF(RIGHT(B7,1)="2","Umum","Tidak Diketahui"))</f>
        <v>Pelajar</v>
      </c>
      <c r="F7" s="9">
        <f>VLOOKUP(LEFT(B7,2),'tabel bantu'!$A$2:$C$7,3,FALSE)</f>
        <v>600000</v>
      </c>
      <c r="G7" s="9">
        <f>IF(OR(LEFT(B7,2)="DM",RIGHT(B7,1)="1"),15/100*F7,0)</f>
        <v>90000</v>
      </c>
      <c r="H7" s="10">
        <f>SUM(F7,-G7)</f>
        <v>510000</v>
      </c>
    </row>
    <row r="8" spans="1:12" ht="15.6" x14ac:dyDescent="0.3">
      <c r="A8" s="7">
        <v>3</v>
      </c>
      <c r="B8" s="7" t="s">
        <v>10</v>
      </c>
      <c r="C8" s="7" t="s">
        <v>20</v>
      </c>
      <c r="D8" s="25" t="str">
        <f>VLOOKUP(LEFT(B8,2),'tabel bantu'!$A$2:$C$7,2,FALSE)</f>
        <v>Digital Marketing</v>
      </c>
      <c r="E8" s="16" t="str">
        <f>IF(RIGHT(B8,1)="1","Pelajar",IF(RIGHT(B8,1)="2","Umum","Tidak Diketahui"))</f>
        <v>Umum</v>
      </c>
      <c r="F8" s="9">
        <f>VLOOKUP(LEFT(B8,2),'tabel bantu'!$A$2:$C$7,3,FALSE)</f>
        <v>850000</v>
      </c>
      <c r="G8" s="9">
        <f>IF(OR(LEFT(B8,2)="DM",RIGHT(B8,1)="1"),15/100*F8,0)</f>
        <v>127500</v>
      </c>
      <c r="H8" s="10">
        <f>SUM(F8,-G8)</f>
        <v>722500</v>
      </c>
    </row>
    <row r="9" spans="1:12" ht="15.6" x14ac:dyDescent="0.3">
      <c r="A9" s="7">
        <v>4</v>
      </c>
      <c r="B9" s="7" t="s">
        <v>11</v>
      </c>
      <c r="C9" s="7" t="s">
        <v>21</v>
      </c>
      <c r="D9" s="25" t="str">
        <f>VLOOKUP(LEFT(B9,2),'tabel bantu'!$A$2:$C$7,2,FALSE)</f>
        <v>Senior Programming</v>
      </c>
      <c r="E9" s="16" t="str">
        <f>IF(RIGHT(B9,1)="1","Pelajar",IF(RIGHT(B9,1)="2","Umum","Tidak Diketahui"))</f>
        <v>Umum</v>
      </c>
      <c r="F9" s="9">
        <f>VLOOKUP(LEFT(B9,2),'tabel bantu'!$A$2:$C$7,3,FALSE)</f>
        <v>750000</v>
      </c>
      <c r="G9" s="9">
        <f>IF(OR(LEFT(B9,2)="DM",RIGHT(B9,1)="1"),15/100*F9,0)</f>
        <v>0</v>
      </c>
      <c r="H9" s="10">
        <f>SUM(F9,-G9)</f>
        <v>750000</v>
      </c>
    </row>
    <row r="10" spans="1:12" ht="15.6" x14ac:dyDescent="0.3">
      <c r="A10" s="7">
        <v>5</v>
      </c>
      <c r="B10" s="7" t="s">
        <v>14</v>
      </c>
      <c r="C10" s="7" t="s">
        <v>22</v>
      </c>
      <c r="D10" s="25" t="str">
        <f>VLOOKUP(LEFT(B10,2),'tabel bantu'!$A$2:$C$7,2,FALSE)</f>
        <v>Microsoft Office</v>
      </c>
      <c r="E10" s="16" t="str">
        <f>IF(RIGHT(B10,1)="1","Pelajar",IF(RIGHT(B10,1)="2","Umum","Tidak Diketahui"))</f>
        <v>Umum</v>
      </c>
      <c r="F10" s="9">
        <f>VLOOKUP(LEFT(B10,2),'tabel bantu'!$A$2:$C$7,3,FALSE)</f>
        <v>500000</v>
      </c>
      <c r="G10" s="9">
        <f>IF(OR(LEFT(B10,2)="DM",RIGHT(B10,1)="1"),15/100*F10,0)</f>
        <v>0</v>
      </c>
      <c r="H10" s="10">
        <f>SUM(F10,-G10)</f>
        <v>500000</v>
      </c>
    </row>
    <row r="11" spans="1:12" ht="15.6" x14ac:dyDescent="0.3">
      <c r="A11" s="7">
        <v>6</v>
      </c>
      <c r="B11" s="7" t="s">
        <v>12</v>
      </c>
      <c r="C11" s="7" t="s">
        <v>23</v>
      </c>
      <c r="D11" s="25" t="str">
        <f>VLOOKUP(LEFT(B11,2),'tabel bantu'!$A$2:$C$7,2,FALSE)</f>
        <v>Microsoft Office</v>
      </c>
      <c r="E11" s="16" t="str">
        <f>IF(RIGHT(B11,1)="1","Pelajar",IF(RIGHT(B11,1)="2","Umum","Tidak Diketahui"))</f>
        <v>Umum</v>
      </c>
      <c r="F11" s="9">
        <f>VLOOKUP(LEFT(B11,2),'tabel bantu'!$A$2:$C$7,3,FALSE)</f>
        <v>500000</v>
      </c>
      <c r="G11" s="9">
        <f>IF(OR(LEFT(B11,2)="DM",RIGHT(B11,1)="1"),15/100*F11,0)</f>
        <v>0</v>
      </c>
      <c r="H11" s="10">
        <f>SUM(F11,-G11)</f>
        <v>500000</v>
      </c>
    </row>
    <row r="12" spans="1:12" ht="15.6" x14ac:dyDescent="0.3">
      <c r="A12" s="7">
        <v>7</v>
      </c>
      <c r="B12" s="7" t="s">
        <v>13</v>
      </c>
      <c r="C12" s="7" t="s">
        <v>24</v>
      </c>
      <c r="D12" s="25" t="str">
        <f>VLOOKUP(LEFT(B12,2),'tabel bantu'!$A$2:$C$7,2,FALSE)</f>
        <v>Computerized Accounting</v>
      </c>
      <c r="E12" s="16" t="str">
        <f>IF(RIGHT(B12,1)="1","Pelajar",IF(RIGHT(B12,1)="2","Umum","Tidak Diketahui"))</f>
        <v>Pelajar</v>
      </c>
      <c r="F12" s="9">
        <f>VLOOKUP(LEFT(B12,2),'tabel bantu'!$A$2:$C$7,3,FALSE)</f>
        <v>600000</v>
      </c>
      <c r="G12" s="9">
        <f>IF(OR(LEFT(B12,2)="DM",RIGHT(B12,1)="1"),15/100*F12,0)</f>
        <v>90000</v>
      </c>
      <c r="H12" s="10">
        <f>SUM(F12,-G12)</f>
        <v>510000</v>
      </c>
    </row>
    <row r="13" spans="1:12" ht="15.6" x14ac:dyDescent="0.3">
      <c r="A13" s="7">
        <v>8</v>
      </c>
      <c r="B13" s="7" t="s">
        <v>15</v>
      </c>
      <c r="C13" s="7" t="s">
        <v>25</v>
      </c>
      <c r="D13" s="25" t="str">
        <f>VLOOKUP(LEFT(B13,2),'tabel bantu'!$A$2:$C$7,2,FALSE)</f>
        <v>Microsoft Office</v>
      </c>
      <c r="E13" s="16" t="str">
        <f>IF(RIGHT(B13,1)="1","Pelajar",IF(RIGHT(B13,1)="2","Umum","Tidak Diketahui"))</f>
        <v>Pelajar</v>
      </c>
      <c r="F13" s="9">
        <f>VLOOKUP(LEFT(B13,2),'tabel bantu'!$A$2:$C$7,3,FALSE)</f>
        <v>500000</v>
      </c>
      <c r="G13" s="9">
        <f>IF(OR(LEFT(B13,2)="DM",RIGHT(B13,1)="1"),15/100*F13,0)</f>
        <v>75000</v>
      </c>
      <c r="H13" s="10">
        <f>SUM(F13,-G13)</f>
        <v>425000</v>
      </c>
    </row>
    <row r="14" spans="1:12" ht="15.6" x14ac:dyDescent="0.3">
      <c r="A14" s="7">
        <v>9</v>
      </c>
      <c r="B14" s="7" t="s">
        <v>16</v>
      </c>
      <c r="C14" s="7" t="s">
        <v>26</v>
      </c>
      <c r="D14" s="25" t="str">
        <f>VLOOKUP(LEFT(B14,2),'tabel bantu'!$A$2:$C$7,2,FALSE)</f>
        <v>Graphic Design</v>
      </c>
      <c r="E14" s="16" t="str">
        <f>IF(RIGHT(B14,1)="1","Pelajar",IF(RIGHT(B14,1)="2","Umum","Tidak Diketahui"))</f>
        <v>Umum</v>
      </c>
      <c r="F14" s="9">
        <f>VLOOKUP(LEFT(B14,2),'tabel bantu'!$A$2:$C$7,3,FALSE)</f>
        <v>800000</v>
      </c>
      <c r="G14" s="9">
        <f>IF(OR(LEFT(B14,2)="DM",RIGHT(B14,1)="1"),15/100*F14,0)</f>
        <v>0</v>
      </c>
      <c r="H14" s="10">
        <f>SUM(F14,-G14)</f>
        <v>800000</v>
      </c>
    </row>
    <row r="15" spans="1:12" ht="15.6" x14ac:dyDescent="0.3">
      <c r="A15" s="7">
        <v>10</v>
      </c>
      <c r="B15" s="7" t="s">
        <v>17</v>
      </c>
      <c r="C15" s="7" t="s">
        <v>27</v>
      </c>
      <c r="D15" s="25" t="str">
        <f>VLOOKUP(LEFT(B15,2),'tabel bantu'!$A$2:$C$7,2,FALSE)</f>
        <v>Graphic Design</v>
      </c>
      <c r="E15" s="16" t="str">
        <f>IF(RIGHT(B15,1)="1","Pelajar",IF(RIGHT(B15,1)="2","Umum","Tidak Diketahui"))</f>
        <v>Umum</v>
      </c>
      <c r="F15" s="9">
        <f>VLOOKUP(LEFT(B15,2),'tabel bantu'!$A$2:$C$7,3,FALSE)</f>
        <v>800000</v>
      </c>
      <c r="G15" s="9">
        <f>IF(OR(LEFT(B15,2)="DM",RIGHT(B15,1)="1"),15/100*F15,0)</f>
        <v>0</v>
      </c>
      <c r="H15" s="10">
        <f>SUM(F15,-G15)</f>
        <v>800000</v>
      </c>
    </row>
    <row r="18" spans="2:6" ht="15.6" x14ac:dyDescent="0.3">
      <c r="B18" s="33" t="s">
        <v>41</v>
      </c>
      <c r="C18" s="34"/>
      <c r="E18" s="33" t="s">
        <v>40</v>
      </c>
      <c r="F18" s="34"/>
    </row>
    <row r="19" spans="2:6" ht="15.6" x14ac:dyDescent="0.3">
      <c r="B19" s="12" t="s">
        <v>42</v>
      </c>
      <c r="C19" s="7" t="s">
        <v>7</v>
      </c>
      <c r="E19" s="13" t="s">
        <v>43</v>
      </c>
      <c r="F19" s="10">
        <f>SUM(Laporan!H6:H15)</f>
        <v>6017500</v>
      </c>
    </row>
    <row r="20" spans="2:6" ht="15.6" x14ac:dyDescent="0.3">
      <c r="B20" s="7" t="s">
        <v>35</v>
      </c>
      <c r="C20" s="14">
        <f>SUMIF(Laporan!D6:D15,"Computerized Accounting",Laporan!H6:H15)</f>
        <v>1020000</v>
      </c>
      <c r="E20" s="13" t="s">
        <v>44</v>
      </c>
      <c r="F20" s="10">
        <f>AVERAGE(Laporan!H6:H15)</f>
        <v>601750</v>
      </c>
    </row>
    <row r="21" spans="2:6" ht="15.6" x14ac:dyDescent="0.3">
      <c r="B21" s="7" t="s">
        <v>36</v>
      </c>
      <c r="C21" s="14">
        <f>SUMIF(D6:D15,"Graphic Design",Laporan!H6:H15)</f>
        <v>1600000</v>
      </c>
      <c r="E21" s="13" t="s">
        <v>45</v>
      </c>
      <c r="F21" s="15">
        <f>AVERAGEIF(Laporan!D6:D15, "Microsoft Office",Laporan!H6:H15)</f>
        <v>481250</v>
      </c>
    </row>
    <row r="22" spans="2:6" ht="15.6" x14ac:dyDescent="0.3">
      <c r="B22" s="7" t="s">
        <v>37</v>
      </c>
      <c r="C22" s="14">
        <f>SUMIF(Laporan!D6:D15,"Microsoft Office",Laporan!H6:H15)</f>
        <v>1925000</v>
      </c>
      <c r="E22" s="13" t="s">
        <v>46</v>
      </c>
      <c r="F22" s="10">
        <f>MAX(Laporan!H6:H15)</f>
        <v>800000</v>
      </c>
    </row>
    <row r="23" spans="2:6" ht="15.6" x14ac:dyDescent="0.3">
      <c r="B23" s="7" t="s">
        <v>38</v>
      </c>
      <c r="C23" s="14">
        <f>SUMIF(Laporan!D6:D15,"Senior Programming",Laporan!H6:H15)</f>
        <v>750000</v>
      </c>
      <c r="E23" s="13" t="s">
        <v>47</v>
      </c>
      <c r="F23" s="10">
        <f>MIN(Laporan!H6:H15)</f>
        <v>425000</v>
      </c>
    </row>
    <row r="24" spans="2:6" ht="15.6" x14ac:dyDescent="0.3">
      <c r="B24" s="7" t="s">
        <v>39</v>
      </c>
      <c r="C24" s="14">
        <f>SUMIF(Laporan!D6:D15,"Digital Marketing",Laporan!H6:H15)</f>
        <v>722500</v>
      </c>
      <c r="E24" s="13" t="s">
        <v>48</v>
      </c>
      <c r="F24" s="7">
        <f>COUNT(Laporan!A6:A15)</f>
        <v>10</v>
      </c>
    </row>
  </sheetData>
  <mergeCells count="4">
    <mergeCell ref="C1:D1"/>
    <mergeCell ref="C2:D2"/>
    <mergeCell ref="B18:C18"/>
    <mergeCell ref="E18:F18"/>
  </mergeCells>
  <phoneticPr fontId="5" type="noConversion"/>
  <pageMargins left="0.7" right="0.7" top="0.75" bottom="0.75" header="0.3" footer="0.3"/>
  <pageSetup scale="45" orientation="portrait" r:id="rId1"/>
  <headerFooter>
    <oddFooter>&amp;L&amp;18AIKEN ANCEL SUOTH&amp;R&amp;18LAPORAN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E94C-8BD5-4BC5-AAF6-C0F7BB8376D9}">
  <dimension ref="A1:C7"/>
  <sheetViews>
    <sheetView zoomScaleNormal="100" workbookViewId="0">
      <selection activeCell="K32" sqref="K32"/>
    </sheetView>
  </sheetViews>
  <sheetFormatPr defaultRowHeight="14.4" x14ac:dyDescent="0.3"/>
  <cols>
    <col min="1" max="1" width="13.5546875" customWidth="1"/>
    <col min="2" max="2" width="27.5546875" customWidth="1"/>
    <col min="3" max="3" width="24" customWidth="1"/>
  </cols>
  <sheetData>
    <row r="1" spans="1:3" ht="25.8" x14ac:dyDescent="0.5">
      <c r="A1" s="28" t="s">
        <v>56</v>
      </c>
      <c r="B1" s="28"/>
    </row>
    <row r="2" spans="1:3" ht="15.6" x14ac:dyDescent="0.3">
      <c r="A2" s="11" t="s">
        <v>28</v>
      </c>
      <c r="B2" s="11" t="s">
        <v>29</v>
      </c>
      <c r="C2" s="11" t="s">
        <v>5</v>
      </c>
    </row>
    <row r="3" spans="1:3" ht="15.6" x14ac:dyDescent="0.3">
      <c r="A3" s="7" t="s">
        <v>30</v>
      </c>
      <c r="B3" s="7" t="s">
        <v>35</v>
      </c>
      <c r="C3" s="17">
        <v>600000</v>
      </c>
    </row>
    <row r="4" spans="1:3" ht="15.6" x14ac:dyDescent="0.3">
      <c r="A4" s="7" t="s">
        <v>31</v>
      </c>
      <c r="B4" s="7" t="s">
        <v>36</v>
      </c>
      <c r="C4" s="17">
        <v>800000</v>
      </c>
    </row>
    <row r="5" spans="1:3" ht="15.6" x14ac:dyDescent="0.3">
      <c r="A5" s="7" t="s">
        <v>32</v>
      </c>
      <c r="B5" s="7" t="s">
        <v>37</v>
      </c>
      <c r="C5" s="17">
        <v>500000</v>
      </c>
    </row>
    <row r="6" spans="1:3" ht="15.6" x14ac:dyDescent="0.3">
      <c r="A6" s="7" t="s">
        <v>33</v>
      </c>
      <c r="B6" s="7" t="s">
        <v>38</v>
      </c>
      <c r="C6" s="17">
        <v>750000</v>
      </c>
    </row>
    <row r="7" spans="1:3" ht="15.6" x14ac:dyDescent="0.3">
      <c r="A7" s="7" t="s">
        <v>34</v>
      </c>
      <c r="B7" s="7" t="s">
        <v>39</v>
      </c>
      <c r="C7" s="17">
        <v>850000</v>
      </c>
    </row>
  </sheetData>
  <mergeCells count="1">
    <mergeCell ref="A1:B1"/>
  </mergeCells>
  <pageMargins left="0.7" right="0.7" top="0.75" bottom="0.75" header="0.3" footer="0.3"/>
  <pageSetup scale="56" orientation="portrait" r:id="rId1"/>
  <headerFooter>
    <oddFooter>&amp;L&amp;18AIKEN ANCEL SUOTH&amp;R&amp;18TABEL BANTU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90B0-BD39-47E7-B276-CE1FD1F892EA}">
  <sheetPr filterMode="1"/>
  <dimension ref="A1:L28"/>
  <sheetViews>
    <sheetView zoomScaleNormal="100" workbookViewId="0">
      <selection activeCell="K32" sqref="K32"/>
    </sheetView>
  </sheetViews>
  <sheetFormatPr defaultRowHeight="14.4" x14ac:dyDescent="0.3"/>
  <cols>
    <col min="1" max="1" width="6.5546875" customWidth="1"/>
    <col min="2" max="2" width="23.44140625" customWidth="1"/>
    <col min="3" max="3" width="22.5546875" customWidth="1"/>
    <col min="4" max="4" width="18.33203125" customWidth="1"/>
    <col min="5" max="5" width="35.33203125" customWidth="1"/>
    <col min="6" max="6" width="19.6640625" customWidth="1"/>
    <col min="7" max="7" width="21.109375" customWidth="1"/>
    <col min="8" max="8" width="17.88671875" customWidth="1"/>
    <col min="10" max="14" width="11" customWidth="1"/>
  </cols>
  <sheetData>
    <row r="1" spans="1:12" ht="37.200000000000003" customHeight="1" x14ac:dyDescent="0.85">
      <c r="A1" s="35"/>
      <c r="B1" s="36"/>
      <c r="C1" s="37" t="s">
        <v>0</v>
      </c>
      <c r="D1" s="37"/>
      <c r="E1" s="32"/>
      <c r="F1" s="32"/>
      <c r="G1" s="32"/>
      <c r="H1" s="32"/>
      <c r="I1" s="32"/>
      <c r="J1" s="32"/>
      <c r="K1" s="24"/>
      <c r="L1" s="24"/>
    </row>
    <row r="2" spans="1:12" s="44" customFormat="1" ht="12" customHeight="1" x14ac:dyDescent="0.3">
      <c r="A2" s="43"/>
      <c r="B2" s="43"/>
      <c r="C2" s="41" t="s">
        <v>57</v>
      </c>
      <c r="D2" s="42"/>
    </row>
    <row r="3" spans="1:12" ht="15" thickBot="1" x14ac:dyDescent="0.35">
      <c r="A3" s="38"/>
      <c r="B3" s="38"/>
      <c r="C3" s="39" t="s">
        <v>58</v>
      </c>
      <c r="D3" s="40"/>
      <c r="E3" s="38"/>
      <c r="F3" s="38"/>
      <c r="G3" s="38"/>
      <c r="H3" s="38"/>
      <c r="I3" s="38"/>
    </row>
    <row r="4" spans="1:12" ht="16.2" thickTop="1" x14ac:dyDescent="0.3">
      <c r="A4" s="29" t="s">
        <v>49</v>
      </c>
      <c r="B4" s="29"/>
      <c r="C4" s="5"/>
      <c r="D4" s="5"/>
      <c r="E4" s="5"/>
      <c r="F4" s="5"/>
      <c r="G4" s="5"/>
      <c r="H4" s="5"/>
    </row>
    <row r="5" spans="1:12" ht="15.6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29</v>
      </c>
      <c r="F5" s="6" t="s">
        <v>5</v>
      </c>
      <c r="G5" s="6" t="s">
        <v>6</v>
      </c>
      <c r="H5" s="6" t="s">
        <v>7</v>
      </c>
    </row>
    <row r="6" spans="1:12" ht="15.6" x14ac:dyDescent="0.3">
      <c r="A6" s="7">
        <v>2</v>
      </c>
      <c r="B6" s="7" t="s">
        <v>9</v>
      </c>
      <c r="C6" s="7" t="s">
        <v>19</v>
      </c>
      <c r="D6" s="7" t="str">
        <f t="shared" ref="D6:D15" si="0">IF(RIGHT(B6,1)="1","Pelajar",IF(RIGHT(B6,1)="2","Umum","Tidak Diketahui"))</f>
        <v>Pelajar</v>
      </c>
      <c r="E6" s="8" t="str">
        <f>VLOOKUP(LEFT(B6,2),'tabel bantu'!$A$2:$C$7,2,FALSE)</f>
        <v>Computerized Accounting</v>
      </c>
      <c r="F6" s="9">
        <f>VLOOKUP(LEFT(B6,2),'tabel bantu'!$A$2:$C$7,3,FALSE)</f>
        <v>600000</v>
      </c>
      <c r="G6" s="9">
        <f t="shared" ref="G6:G15" si="1">IF(OR(LEFT(B6,2)="DM",RIGHT(B6,1)="1"),15/100*F6,0)</f>
        <v>90000</v>
      </c>
      <c r="H6" s="10">
        <f>SUM(F6,-G6)</f>
        <v>510000</v>
      </c>
    </row>
    <row r="7" spans="1:12" ht="15.6" x14ac:dyDescent="0.3">
      <c r="A7" s="7">
        <v>7</v>
      </c>
      <c r="B7" s="7" t="s">
        <v>13</v>
      </c>
      <c r="C7" s="7" t="s">
        <v>24</v>
      </c>
      <c r="D7" s="7" t="str">
        <f t="shared" si="0"/>
        <v>Pelajar</v>
      </c>
      <c r="E7" s="8" t="str">
        <f>VLOOKUP(LEFT(B7,2),'tabel bantu'!$A$2:$C$7,2,FALSE)</f>
        <v>Computerized Accounting</v>
      </c>
      <c r="F7" s="9">
        <f>VLOOKUP(LEFT(B7,2),'tabel bantu'!$A$2:$C$7,3,FALSE)</f>
        <v>600000</v>
      </c>
      <c r="G7" s="9">
        <f t="shared" si="1"/>
        <v>90000</v>
      </c>
      <c r="H7" s="10">
        <f>SUM(F7,-G7)</f>
        <v>510000</v>
      </c>
    </row>
    <row r="8" spans="1:12" ht="15.6" x14ac:dyDescent="0.3">
      <c r="A8" s="7">
        <v>3</v>
      </c>
      <c r="B8" s="7" t="s">
        <v>10</v>
      </c>
      <c r="C8" s="7" t="s">
        <v>20</v>
      </c>
      <c r="D8" s="7" t="str">
        <f t="shared" si="0"/>
        <v>Umum</v>
      </c>
      <c r="E8" s="8" t="str">
        <f>VLOOKUP(LEFT(B8,2),'tabel bantu'!$A$2:$C$7,2,FALSE)</f>
        <v>Digital Marketing</v>
      </c>
      <c r="F8" s="9">
        <f>VLOOKUP(LEFT(B8,2),'tabel bantu'!$A$2:$C$7,3,FALSE)</f>
        <v>850000</v>
      </c>
      <c r="G8" s="9">
        <f t="shared" si="1"/>
        <v>127500</v>
      </c>
      <c r="H8" s="10">
        <f>SUM(F8,-G8)</f>
        <v>722500</v>
      </c>
    </row>
    <row r="9" spans="1:12" ht="15.6" x14ac:dyDescent="0.3">
      <c r="A9" s="7">
        <v>9</v>
      </c>
      <c r="B9" s="7" t="s">
        <v>16</v>
      </c>
      <c r="C9" s="7" t="s">
        <v>26</v>
      </c>
      <c r="D9" s="7" t="str">
        <f t="shared" si="0"/>
        <v>Umum</v>
      </c>
      <c r="E9" s="8" t="str">
        <f>VLOOKUP(LEFT(B9,2),'tabel bantu'!$A$2:$C$7,2,FALSE)</f>
        <v>Graphic Design</v>
      </c>
      <c r="F9" s="9">
        <f>VLOOKUP(LEFT(B9,2),'tabel bantu'!$A$2:$C$7,3,FALSE)</f>
        <v>800000</v>
      </c>
      <c r="G9" s="9">
        <f t="shared" si="1"/>
        <v>0</v>
      </c>
      <c r="H9" s="10">
        <f>SUM(F9,-G9)</f>
        <v>800000</v>
      </c>
    </row>
    <row r="10" spans="1:12" ht="15.6" x14ac:dyDescent="0.3">
      <c r="A10" s="7">
        <v>10</v>
      </c>
      <c r="B10" s="7" t="s">
        <v>17</v>
      </c>
      <c r="C10" s="7" t="s">
        <v>27</v>
      </c>
      <c r="D10" s="7" t="str">
        <f t="shared" si="0"/>
        <v>Umum</v>
      </c>
      <c r="E10" s="8" t="str">
        <f>VLOOKUP(LEFT(B10,2),'tabel bantu'!$A$2:$C$7,2,FALSE)</f>
        <v>Graphic Design</v>
      </c>
      <c r="F10" s="9">
        <f>VLOOKUP(LEFT(B10,2),'tabel bantu'!$A$2:$C$7,3,FALSE)</f>
        <v>800000</v>
      </c>
      <c r="G10" s="9">
        <f t="shared" si="1"/>
        <v>0</v>
      </c>
      <c r="H10" s="10">
        <f>SUM(F10,-G10)</f>
        <v>800000</v>
      </c>
    </row>
    <row r="11" spans="1:12" ht="15.6" x14ac:dyDescent="0.3">
      <c r="A11" s="7">
        <v>1</v>
      </c>
      <c r="B11" s="7" t="s">
        <v>8</v>
      </c>
      <c r="C11" s="7" t="s">
        <v>18</v>
      </c>
      <c r="D11" s="7" t="str">
        <f t="shared" si="0"/>
        <v>Umum</v>
      </c>
      <c r="E11" s="8" t="str">
        <f>VLOOKUP(LEFT(B11,2),'tabel bantu'!$A$2:$C$7,2,FALSE)</f>
        <v>Microsoft Office</v>
      </c>
      <c r="F11" s="9">
        <f>VLOOKUP(LEFT(B11,2),'tabel bantu'!$A$2:$C$7,3,FALSE)</f>
        <v>500000</v>
      </c>
      <c r="G11" s="9">
        <f t="shared" si="1"/>
        <v>0</v>
      </c>
      <c r="H11" s="10">
        <f>SUM(F11,G11)</f>
        <v>500000</v>
      </c>
    </row>
    <row r="12" spans="1:12" ht="15.6" x14ac:dyDescent="0.3">
      <c r="A12" s="7">
        <v>5</v>
      </c>
      <c r="B12" s="7" t="s">
        <v>14</v>
      </c>
      <c r="C12" s="7" t="s">
        <v>22</v>
      </c>
      <c r="D12" s="7" t="str">
        <f t="shared" si="0"/>
        <v>Umum</v>
      </c>
      <c r="E12" s="8" t="str">
        <f>VLOOKUP(LEFT(B12,2),'tabel bantu'!$A$2:$C$7,2,FALSE)</f>
        <v>Microsoft Office</v>
      </c>
      <c r="F12" s="9">
        <f>VLOOKUP(LEFT(B12,2),'tabel bantu'!$A$2:$C$7,3,FALSE)</f>
        <v>500000</v>
      </c>
      <c r="G12" s="9">
        <f t="shared" si="1"/>
        <v>0</v>
      </c>
      <c r="H12" s="10">
        <f>SUM(F12,-G12)</f>
        <v>500000</v>
      </c>
    </row>
    <row r="13" spans="1:12" ht="15.6" x14ac:dyDescent="0.3">
      <c r="A13" s="7">
        <v>6</v>
      </c>
      <c r="B13" s="7" t="s">
        <v>12</v>
      </c>
      <c r="C13" s="7" t="s">
        <v>23</v>
      </c>
      <c r="D13" s="7" t="str">
        <f t="shared" si="0"/>
        <v>Umum</v>
      </c>
      <c r="E13" s="8" t="str">
        <f>VLOOKUP(LEFT(B13,2),'tabel bantu'!$A$2:$C$7,2,FALSE)</f>
        <v>Microsoft Office</v>
      </c>
      <c r="F13" s="9">
        <f>VLOOKUP(LEFT(B13,2),'tabel bantu'!$A$2:$C$7,3,FALSE)</f>
        <v>500000</v>
      </c>
      <c r="G13" s="9">
        <f t="shared" si="1"/>
        <v>0</v>
      </c>
      <c r="H13" s="10">
        <f>SUM(F13,-G13)</f>
        <v>500000</v>
      </c>
    </row>
    <row r="14" spans="1:12" ht="15.6" x14ac:dyDescent="0.3">
      <c r="A14" s="7">
        <v>8</v>
      </c>
      <c r="B14" s="7" t="s">
        <v>15</v>
      </c>
      <c r="C14" s="7" t="s">
        <v>25</v>
      </c>
      <c r="D14" s="7" t="str">
        <f t="shared" si="0"/>
        <v>Pelajar</v>
      </c>
      <c r="E14" s="8" t="str">
        <f>VLOOKUP(LEFT(B14,2),'tabel bantu'!$A$2:$C$7,2,FALSE)</f>
        <v>Microsoft Office</v>
      </c>
      <c r="F14" s="9">
        <f>VLOOKUP(LEFT(B14,2),'tabel bantu'!$A$2:$C$7,3,FALSE)</f>
        <v>500000</v>
      </c>
      <c r="G14" s="9">
        <f t="shared" si="1"/>
        <v>75000</v>
      </c>
      <c r="H14" s="10">
        <f>SUM(F14,-G14)</f>
        <v>425000</v>
      </c>
    </row>
    <row r="15" spans="1:12" ht="15.6" x14ac:dyDescent="0.3">
      <c r="A15" s="7">
        <v>4</v>
      </c>
      <c r="B15" s="7" t="s">
        <v>11</v>
      </c>
      <c r="C15" s="7" t="s">
        <v>21</v>
      </c>
      <c r="D15" s="7" t="str">
        <f t="shared" si="0"/>
        <v>Umum</v>
      </c>
      <c r="E15" s="8" t="str">
        <f>VLOOKUP(LEFT(B15,2),'tabel bantu'!$A$2:$C$7,2,FALSE)</f>
        <v>Senior Programming</v>
      </c>
      <c r="F15" s="9">
        <f>VLOOKUP(LEFT(B15,2),'tabel bantu'!$A$2:$C$7,3,FALSE)</f>
        <v>750000</v>
      </c>
      <c r="G15" s="9">
        <f t="shared" si="1"/>
        <v>0</v>
      </c>
      <c r="H15" s="10">
        <f>SUM(F15,-G15)</f>
        <v>750000</v>
      </c>
    </row>
    <row r="16" spans="1:12" ht="15.6" x14ac:dyDescent="0.3">
      <c r="A16" s="5"/>
      <c r="B16" s="5"/>
      <c r="C16" s="5"/>
      <c r="D16" s="5"/>
      <c r="E16" s="5"/>
      <c r="F16" s="5"/>
      <c r="G16" s="5"/>
      <c r="H16" s="5"/>
    </row>
    <row r="17" spans="1:8" ht="15.6" x14ac:dyDescent="0.3">
      <c r="A17" s="29" t="s">
        <v>55</v>
      </c>
      <c r="B17" s="30"/>
      <c r="C17" s="5"/>
      <c r="D17" s="5"/>
      <c r="E17" s="5"/>
      <c r="F17" s="5"/>
      <c r="G17" s="5"/>
      <c r="H17" s="5"/>
    </row>
    <row r="18" spans="1:8" ht="15.6" x14ac:dyDescent="0.3">
      <c r="A18" s="6" t="s">
        <v>1</v>
      </c>
      <c r="B18" s="6" t="s">
        <v>2</v>
      </c>
      <c r="C18" s="6" t="s">
        <v>3</v>
      </c>
      <c r="D18" s="6" t="s">
        <v>4</v>
      </c>
      <c r="E18" s="6" t="s">
        <v>29</v>
      </c>
      <c r="F18" s="6" t="s">
        <v>5</v>
      </c>
      <c r="G18" s="6" t="s">
        <v>6</v>
      </c>
      <c r="H18" s="6" t="s">
        <v>7</v>
      </c>
    </row>
    <row r="19" spans="1:8" hidden="1" x14ac:dyDescent="0.3">
      <c r="A19" s="2">
        <v>2</v>
      </c>
      <c r="B19" s="2" t="s">
        <v>9</v>
      </c>
      <c r="C19" s="2" t="s">
        <v>19</v>
      </c>
      <c r="D19" s="2" t="str">
        <f t="shared" ref="D19:D28" si="2">IF(RIGHT(B19,1)="1","Pelajar",IF(RIGHT(B19,1)="2","Umum","Tidak Diketahui"))</f>
        <v>Pelajar</v>
      </c>
      <c r="E19" s="1" t="str">
        <f>VLOOKUP(LEFT(B19,2),'tabel bantu'!$A$2:$C$7,2,FALSE)</f>
        <v>Computerized Accounting</v>
      </c>
      <c r="F19" s="3">
        <f>VLOOKUP(LEFT(B19,2),'tabel bantu'!$A$2:$C$7,3,FALSE)</f>
        <v>600000</v>
      </c>
      <c r="G19" s="3">
        <f t="shared" ref="G19:G28" si="3">IF(OR(LEFT(B19,2)="DM",RIGHT(B19,1)="1"),15/100*F19,0)</f>
        <v>90000</v>
      </c>
      <c r="H19" s="4">
        <f>SUM(F19,-G19)</f>
        <v>510000</v>
      </c>
    </row>
    <row r="20" spans="1:8" hidden="1" x14ac:dyDescent="0.3">
      <c r="A20" s="2">
        <v>7</v>
      </c>
      <c r="B20" s="2" t="s">
        <v>13</v>
      </c>
      <c r="C20" s="2" t="s">
        <v>24</v>
      </c>
      <c r="D20" s="2" t="str">
        <f t="shared" si="2"/>
        <v>Pelajar</v>
      </c>
      <c r="E20" s="1" t="str">
        <f>VLOOKUP(LEFT(B20,2),'tabel bantu'!$A$2:$C$7,2,FALSE)</f>
        <v>Computerized Accounting</v>
      </c>
      <c r="F20" s="3">
        <f>VLOOKUP(LEFT(B20,2),'tabel bantu'!$A$2:$C$7,3,FALSE)</f>
        <v>600000</v>
      </c>
      <c r="G20" s="3">
        <f t="shared" si="3"/>
        <v>90000</v>
      </c>
      <c r="H20" s="4">
        <f>SUM(F20,-G20)</f>
        <v>510000</v>
      </c>
    </row>
    <row r="21" spans="1:8" hidden="1" x14ac:dyDescent="0.3">
      <c r="A21" s="2">
        <v>3</v>
      </c>
      <c r="B21" s="2" t="s">
        <v>10</v>
      </c>
      <c r="C21" s="2" t="s">
        <v>20</v>
      </c>
      <c r="D21" s="2" t="str">
        <f t="shared" si="2"/>
        <v>Umum</v>
      </c>
      <c r="E21" s="1" t="str">
        <f>VLOOKUP(LEFT(B21,2),'tabel bantu'!$A$2:$C$7,2,FALSE)</f>
        <v>Digital Marketing</v>
      </c>
      <c r="F21" s="3">
        <f>VLOOKUP(LEFT(B21,2),'tabel bantu'!$A$2:$C$7,3,FALSE)</f>
        <v>850000</v>
      </c>
      <c r="G21" s="3">
        <f t="shared" si="3"/>
        <v>127500</v>
      </c>
      <c r="H21" s="4">
        <f>SUM(F21,-G21)</f>
        <v>722500</v>
      </c>
    </row>
    <row r="22" spans="1:8" hidden="1" x14ac:dyDescent="0.3">
      <c r="A22" s="2">
        <v>9</v>
      </c>
      <c r="B22" s="2" t="s">
        <v>16</v>
      </c>
      <c r="C22" s="2" t="s">
        <v>26</v>
      </c>
      <c r="D22" s="2" t="str">
        <f t="shared" si="2"/>
        <v>Umum</v>
      </c>
      <c r="E22" s="1" t="str">
        <f>VLOOKUP(LEFT(B22,2),'tabel bantu'!$A$2:$C$7,2,FALSE)</f>
        <v>Graphic Design</v>
      </c>
      <c r="F22" s="3">
        <f>VLOOKUP(LEFT(B22,2),'tabel bantu'!$A$2:$C$7,3,FALSE)</f>
        <v>800000</v>
      </c>
      <c r="G22" s="3">
        <f t="shared" si="3"/>
        <v>0</v>
      </c>
      <c r="H22" s="4">
        <f>SUM(F22,-G22)</f>
        <v>800000</v>
      </c>
    </row>
    <row r="23" spans="1:8" hidden="1" x14ac:dyDescent="0.3">
      <c r="A23" s="2">
        <v>10</v>
      </c>
      <c r="B23" s="2" t="s">
        <v>17</v>
      </c>
      <c r="C23" s="2" t="s">
        <v>27</v>
      </c>
      <c r="D23" s="2" t="str">
        <f t="shared" si="2"/>
        <v>Umum</v>
      </c>
      <c r="E23" s="1" t="str">
        <f>VLOOKUP(LEFT(B23,2),'tabel bantu'!$A$2:$C$7,2,FALSE)</f>
        <v>Graphic Design</v>
      </c>
      <c r="F23" s="3">
        <f>VLOOKUP(LEFT(B23,2),'tabel bantu'!$A$2:$C$7,3,FALSE)</f>
        <v>800000</v>
      </c>
      <c r="G23" s="3">
        <f t="shared" si="3"/>
        <v>0</v>
      </c>
      <c r="H23" s="4">
        <f>SUM(F23,-G23)</f>
        <v>800000</v>
      </c>
    </row>
    <row r="24" spans="1:8" ht="15.6" x14ac:dyDescent="0.3">
      <c r="A24" s="7">
        <v>1</v>
      </c>
      <c r="B24" s="7" t="s">
        <v>8</v>
      </c>
      <c r="C24" s="7" t="s">
        <v>18</v>
      </c>
      <c r="D24" s="7" t="str">
        <f t="shared" si="2"/>
        <v>Umum</v>
      </c>
      <c r="E24" s="8" t="str">
        <f>VLOOKUP(LEFT(B24,2),'tabel bantu'!$A$2:$C$7,2,FALSE)</f>
        <v>Microsoft Office</v>
      </c>
      <c r="F24" s="9">
        <f>VLOOKUP(LEFT(B24,2),'tabel bantu'!$A$2:$C$7,3,FALSE)</f>
        <v>500000</v>
      </c>
      <c r="G24" s="9">
        <f t="shared" si="3"/>
        <v>0</v>
      </c>
      <c r="H24" s="10">
        <f>SUM(F24,G24)</f>
        <v>500000</v>
      </c>
    </row>
    <row r="25" spans="1:8" ht="15.6" x14ac:dyDescent="0.3">
      <c r="A25" s="7">
        <v>5</v>
      </c>
      <c r="B25" s="7" t="s">
        <v>14</v>
      </c>
      <c r="C25" s="7" t="s">
        <v>22</v>
      </c>
      <c r="D25" s="7" t="str">
        <f t="shared" si="2"/>
        <v>Umum</v>
      </c>
      <c r="E25" s="8" t="str">
        <f>VLOOKUP(LEFT(B25,2),'tabel bantu'!$A$2:$C$7,2,FALSE)</f>
        <v>Microsoft Office</v>
      </c>
      <c r="F25" s="9">
        <f>VLOOKUP(LEFT(B25,2),'tabel bantu'!$A$2:$C$7,3,FALSE)</f>
        <v>500000</v>
      </c>
      <c r="G25" s="9">
        <f t="shared" si="3"/>
        <v>0</v>
      </c>
      <c r="H25" s="10">
        <f>SUM(F25,-G25)</f>
        <v>500000</v>
      </c>
    </row>
    <row r="26" spans="1:8" ht="15.6" x14ac:dyDescent="0.3">
      <c r="A26" s="7">
        <v>6</v>
      </c>
      <c r="B26" s="7" t="s">
        <v>12</v>
      </c>
      <c r="C26" s="7" t="s">
        <v>23</v>
      </c>
      <c r="D26" s="7" t="str">
        <f t="shared" si="2"/>
        <v>Umum</v>
      </c>
      <c r="E26" s="8" t="str">
        <f>VLOOKUP(LEFT(B26,2),'tabel bantu'!$A$2:$C$7,2,FALSE)</f>
        <v>Microsoft Office</v>
      </c>
      <c r="F26" s="9">
        <f>VLOOKUP(LEFT(B26,2),'tabel bantu'!$A$2:$C$7,3,FALSE)</f>
        <v>500000</v>
      </c>
      <c r="G26" s="9">
        <f t="shared" si="3"/>
        <v>0</v>
      </c>
      <c r="H26" s="10">
        <f>SUM(F26,-G26)</f>
        <v>500000</v>
      </c>
    </row>
    <row r="27" spans="1:8" hidden="1" x14ac:dyDescent="0.3">
      <c r="A27" s="2">
        <v>8</v>
      </c>
      <c r="B27" s="2" t="s">
        <v>15</v>
      </c>
      <c r="C27" s="2" t="s">
        <v>25</v>
      </c>
      <c r="D27" s="2" t="str">
        <f t="shared" si="2"/>
        <v>Pelajar</v>
      </c>
      <c r="E27" s="1" t="str">
        <f>VLOOKUP(LEFT(B27,2),'tabel bantu'!$A$2:$C$7,2,FALSE)</f>
        <v>Microsoft Office</v>
      </c>
      <c r="F27" s="3">
        <f>VLOOKUP(LEFT(B27,2),'tabel bantu'!$A$2:$C$7,3,FALSE)</f>
        <v>500000</v>
      </c>
      <c r="G27" s="3">
        <f t="shared" si="3"/>
        <v>75000</v>
      </c>
      <c r="H27" s="4">
        <f>SUM(F27,-G27)</f>
        <v>425000</v>
      </c>
    </row>
    <row r="28" spans="1:8" hidden="1" x14ac:dyDescent="0.3">
      <c r="A28" s="2">
        <v>4</v>
      </c>
      <c r="B28" s="2" t="s">
        <v>11</v>
      </c>
      <c r="C28" s="2" t="s">
        <v>21</v>
      </c>
      <c r="D28" s="2" t="str">
        <f t="shared" si="2"/>
        <v>Umum</v>
      </c>
      <c r="E28" s="1" t="str">
        <f>VLOOKUP(LEFT(B28,2),'tabel bantu'!$A$2:$C$7,2,FALSE)</f>
        <v>Senior Programming</v>
      </c>
      <c r="F28" s="3">
        <f>VLOOKUP(LEFT(B28,2),'tabel bantu'!$A$2:$C$7,3,FALSE)</f>
        <v>750000</v>
      </c>
      <c r="G28" s="3">
        <f t="shared" si="3"/>
        <v>0</v>
      </c>
      <c r="H28" s="4">
        <f>SUM(F28,-G28)</f>
        <v>750000</v>
      </c>
    </row>
  </sheetData>
  <autoFilter ref="A18:H28" xr:uid="{07E290B0-BD39-47E7-B276-CE1FD1F892EA}">
    <filterColumn colId="3">
      <filters>
        <filter val="Umum"/>
      </filters>
    </filterColumn>
    <filterColumn colId="4">
      <filters>
        <filter val="Microsoft Office"/>
      </filters>
    </filterColumn>
  </autoFilter>
  <mergeCells count="4">
    <mergeCell ref="A4:B4"/>
    <mergeCell ref="A17:B17"/>
    <mergeCell ref="C1:D1"/>
    <mergeCell ref="C2:D2"/>
  </mergeCells>
  <pageMargins left="0.7" right="0.7" top="0.75" bottom="0.75" header="0.3" footer="0.3"/>
  <pageSetup scale="54" orientation="portrait" r:id="rId1"/>
  <headerFooter>
    <oddFooter>&amp;L&amp;18AIKEN ANCEL SUOTH&amp;R&amp;18SORT-FILTER</oddFooter>
  </headerFooter>
  <colBreaks count="1" manualBreakCount="1">
    <brk id="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BE83-47FC-428C-BB86-2420EAFB284C}">
  <dimension ref="A2:C34"/>
  <sheetViews>
    <sheetView tabSelected="1" topLeftCell="A25" zoomScaleNormal="100" zoomScaleSheetLayoutView="40" workbookViewId="0">
      <selection activeCell="B5" sqref="B5"/>
    </sheetView>
  </sheetViews>
  <sheetFormatPr defaultRowHeight="14.4" x14ac:dyDescent="0.3"/>
  <cols>
    <col min="1" max="1" width="24.33203125" customWidth="1"/>
    <col min="2" max="2" width="26.5546875" customWidth="1"/>
    <col min="3" max="3" width="20.33203125" customWidth="1"/>
  </cols>
  <sheetData>
    <row r="2" spans="1:3" ht="15.6" x14ac:dyDescent="0.3">
      <c r="A2" s="18" t="s">
        <v>42</v>
      </c>
      <c r="B2" s="19" t="s">
        <v>7</v>
      </c>
      <c r="C2" s="5"/>
    </row>
    <row r="3" spans="1:3" ht="15.6" x14ac:dyDescent="0.3">
      <c r="A3" s="7" t="s">
        <v>35</v>
      </c>
      <c r="B3" s="20">
        <f>SUMIF(Laporan!D6:D15,"Computerized Accounting",Laporan!H6:H15)</f>
        <v>1020000</v>
      </c>
      <c r="C3" s="5"/>
    </row>
    <row r="4" spans="1:3" ht="15.6" x14ac:dyDescent="0.3">
      <c r="A4" s="7" t="s">
        <v>39</v>
      </c>
      <c r="B4" s="20">
        <v>722500</v>
      </c>
      <c r="C4" s="5"/>
    </row>
    <row r="5" spans="1:3" ht="15.6" x14ac:dyDescent="0.3">
      <c r="A5" s="7" t="s">
        <v>36</v>
      </c>
      <c r="B5" s="20">
        <v>1600000</v>
      </c>
      <c r="C5" s="5"/>
    </row>
    <row r="6" spans="1:3" ht="15.6" x14ac:dyDescent="0.3">
      <c r="A6" s="7" t="s">
        <v>37</v>
      </c>
      <c r="B6" s="20">
        <v>1925000</v>
      </c>
      <c r="C6" s="5"/>
    </row>
    <row r="7" spans="1:3" ht="15.6" x14ac:dyDescent="0.3">
      <c r="A7" s="7" t="s">
        <v>38</v>
      </c>
      <c r="B7" s="20">
        <v>750000</v>
      </c>
      <c r="C7" s="5"/>
    </row>
    <row r="8" spans="1:3" ht="15.6" x14ac:dyDescent="0.3">
      <c r="A8" s="19" t="s">
        <v>50</v>
      </c>
      <c r="B8" s="21">
        <f>SUM(B3:B7)</f>
        <v>6017500</v>
      </c>
      <c r="C8" s="5"/>
    </row>
    <row r="9" spans="1:3" ht="15.6" x14ac:dyDescent="0.3">
      <c r="A9" s="5"/>
      <c r="B9" s="5"/>
      <c r="C9" s="5"/>
    </row>
    <row r="10" spans="1:3" ht="15.6" x14ac:dyDescent="0.3">
      <c r="A10" s="5"/>
      <c r="B10" s="5"/>
      <c r="C10" s="5"/>
    </row>
    <row r="11" spans="1:3" ht="15.6" x14ac:dyDescent="0.3">
      <c r="A11" s="5"/>
      <c r="B11" s="5"/>
      <c r="C11" s="5"/>
    </row>
    <row r="12" spans="1:3" ht="15.6" x14ac:dyDescent="0.3">
      <c r="A12" s="5"/>
      <c r="B12" s="5"/>
      <c r="C12" s="5"/>
    </row>
    <row r="13" spans="1:3" ht="15.6" x14ac:dyDescent="0.3">
      <c r="A13" s="5"/>
      <c r="B13" s="5"/>
      <c r="C13" s="5"/>
    </row>
    <row r="14" spans="1:3" ht="15.6" x14ac:dyDescent="0.3">
      <c r="A14" s="5"/>
      <c r="B14" s="5"/>
      <c r="C14" s="5"/>
    </row>
    <row r="15" spans="1:3" ht="15.6" x14ac:dyDescent="0.3">
      <c r="A15" s="5"/>
      <c r="B15" s="5"/>
      <c r="C15" s="5"/>
    </row>
    <row r="16" spans="1:3" ht="15.6" x14ac:dyDescent="0.3">
      <c r="A16" s="5"/>
      <c r="B16" s="5"/>
      <c r="C16" s="5"/>
    </row>
    <row r="17" spans="1:3" ht="15.6" x14ac:dyDescent="0.3">
      <c r="A17" s="5"/>
      <c r="B17" s="5"/>
      <c r="C17" s="5"/>
    </row>
    <row r="18" spans="1:3" ht="15.6" x14ac:dyDescent="0.3">
      <c r="A18" s="5"/>
      <c r="B18" s="5"/>
      <c r="C18" s="5"/>
    </row>
    <row r="19" spans="1:3" ht="15.6" x14ac:dyDescent="0.3">
      <c r="A19" s="5"/>
      <c r="B19" s="5"/>
      <c r="C19" s="5"/>
    </row>
    <row r="20" spans="1:3" ht="15.6" x14ac:dyDescent="0.3">
      <c r="A20" s="5"/>
      <c r="B20" s="5"/>
      <c r="C20" s="5"/>
    </row>
    <row r="21" spans="1:3" ht="15.6" x14ac:dyDescent="0.3">
      <c r="A21" s="5"/>
      <c r="B21" s="5"/>
      <c r="C21" s="5"/>
    </row>
    <row r="22" spans="1:3" ht="15.6" x14ac:dyDescent="0.3">
      <c r="A22" s="5"/>
      <c r="B22" s="5"/>
      <c r="C22" s="5"/>
    </row>
    <row r="23" spans="1:3" ht="15.6" x14ac:dyDescent="0.3">
      <c r="A23" s="5"/>
      <c r="B23" s="5"/>
      <c r="C23" s="5"/>
    </row>
    <row r="24" spans="1:3" ht="15.6" x14ac:dyDescent="0.3">
      <c r="A24" s="5"/>
      <c r="B24" s="5"/>
      <c r="C24" s="5"/>
    </row>
    <row r="25" spans="1:3" ht="15.6" x14ac:dyDescent="0.3">
      <c r="A25" s="5"/>
      <c r="B25" s="5"/>
      <c r="C25" s="5"/>
    </row>
    <row r="26" spans="1:3" ht="15.6" x14ac:dyDescent="0.3">
      <c r="A26" s="5"/>
      <c r="B26" s="5"/>
      <c r="C26" s="5"/>
    </row>
    <row r="27" spans="1:3" ht="15.6" x14ac:dyDescent="0.3">
      <c r="A27" s="31" t="s">
        <v>51</v>
      </c>
      <c r="B27" s="27" t="s">
        <v>54</v>
      </c>
      <c r="C27" s="27"/>
    </row>
    <row r="28" spans="1:3" ht="15.6" x14ac:dyDescent="0.3">
      <c r="A28" s="31"/>
      <c r="B28" s="11" t="s">
        <v>52</v>
      </c>
      <c r="C28" s="11" t="s">
        <v>53</v>
      </c>
    </row>
    <row r="29" spans="1:3" ht="15.6" x14ac:dyDescent="0.3">
      <c r="A29" s="7" t="str">
        <f>PROPER(A3)</f>
        <v>Computerized Accounting</v>
      </c>
      <c r="B29" s="22">
        <v>1020000</v>
      </c>
      <c r="C29" s="22"/>
    </row>
    <row r="30" spans="1:3" ht="15.6" x14ac:dyDescent="0.3">
      <c r="A30" s="7" t="str">
        <f t="shared" ref="A30:A34" si="0">PROPER(A4)</f>
        <v>Digital Marketing</v>
      </c>
      <c r="B30" s="22"/>
      <c r="C30" s="22">
        <v>722500</v>
      </c>
    </row>
    <row r="31" spans="1:3" ht="15.6" x14ac:dyDescent="0.3">
      <c r="A31" s="7" t="str">
        <f t="shared" si="0"/>
        <v>Graphic Design</v>
      </c>
      <c r="B31" s="22"/>
      <c r="C31" s="22">
        <v>1600000</v>
      </c>
    </row>
    <row r="32" spans="1:3" ht="15.6" x14ac:dyDescent="0.3">
      <c r="A32" s="7" t="str">
        <f t="shared" si="0"/>
        <v>Microsoft Office</v>
      </c>
      <c r="B32" s="22">
        <v>425000</v>
      </c>
      <c r="C32" s="22">
        <v>1500000</v>
      </c>
    </row>
    <row r="33" spans="1:3" ht="15.6" x14ac:dyDescent="0.3">
      <c r="A33" s="7" t="str">
        <f t="shared" si="0"/>
        <v>Senior Programming</v>
      </c>
      <c r="B33" s="22"/>
      <c r="C33" s="22">
        <v>750000</v>
      </c>
    </row>
    <row r="34" spans="1:3" ht="15.6" x14ac:dyDescent="0.3">
      <c r="A34" s="19" t="str">
        <f t="shared" si="0"/>
        <v>Grand Total</v>
      </c>
      <c r="B34" s="23">
        <f>SUM(B29:B33)</f>
        <v>1445000</v>
      </c>
      <c r="C34" s="23">
        <f>SUM(C29:C33)</f>
        <v>4572500</v>
      </c>
    </row>
  </sheetData>
  <mergeCells count="2">
    <mergeCell ref="B27:C27"/>
    <mergeCell ref="A27:A28"/>
  </mergeCells>
  <pageMargins left="0.7" right="0.7" top="0.75" bottom="0.75" header="0.3" footer="0.3"/>
  <pageSetup scale="56" orientation="portrait" r:id="rId1"/>
  <headerFooter>
    <oddFooter>&amp;L&amp;18AIKEN ANCEL SUOTH&amp;R&amp;18GRAFIK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Laporan</vt:lpstr>
      <vt:lpstr>tabel bantu</vt:lpstr>
      <vt:lpstr>SHORT-FILTER</vt:lpstr>
      <vt:lpstr>GRAFIK</vt:lpstr>
      <vt:lpstr>GRAFIK!Print_Area</vt:lpstr>
      <vt:lpstr>Laporan!Print_Area</vt:lpstr>
      <vt:lpstr>'SHORT-FILTER'!Print_Area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peserta</dc:creator>
  <cp:lastModifiedBy>Aiken South</cp:lastModifiedBy>
  <cp:lastPrinted>2024-07-12T06:26:55Z</cp:lastPrinted>
  <dcterms:created xsi:type="dcterms:W3CDTF">2024-07-11T06:32:52Z</dcterms:created>
  <dcterms:modified xsi:type="dcterms:W3CDTF">2024-07-12T06:31:16Z</dcterms:modified>
</cp:coreProperties>
</file>